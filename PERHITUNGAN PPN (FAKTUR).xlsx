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8F320AE9-3172-42C3-A07F-59CB69074438}" xr6:coauthVersionLast="47" xr6:coauthVersionMax="47" xr10:uidLastSave="{00000000-0000-0000-0000-000000000000}"/>
  <bookViews>
    <workbookView xWindow="-120" yWindow="-120" windowWidth="29040" windowHeight="15840" xr2:uid="{84A05B24-B890-4668-84C3-589FAAA8B55F}"/>
  </bookViews>
  <sheets>
    <sheet name="FAKTU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" l="1"/>
  <c r="M20" i="1"/>
  <c r="M19" i="1"/>
  <c r="M18" i="1"/>
  <c r="M17" i="1"/>
  <c r="M16" i="1"/>
  <c r="M15" i="1"/>
  <c r="M14" i="1"/>
  <c r="A14" i="1"/>
  <c r="A15" i="1" s="1"/>
  <c r="A16" i="1" s="1"/>
  <c r="A17" i="1" s="1"/>
  <c r="A18" i="1" s="1"/>
  <c r="A19" i="1" s="1"/>
  <c r="A20" i="1" s="1"/>
  <c r="K13" i="1"/>
  <c r="M13" i="1" s="1"/>
  <c r="M21" i="1" s="1"/>
  <c r="M9" i="1"/>
  <c r="M22" i="1" l="1"/>
  <c r="M23" i="1" s="1"/>
  <c r="M24" i="1" l="1"/>
  <c r="M25" i="1" s="1"/>
  <c r="M26" i="1" s="1"/>
</calcChain>
</file>

<file path=xl/sharedStrings.xml><?xml version="1.0" encoding="utf-8"?>
<sst xmlns="http://schemas.openxmlformats.org/spreadsheetml/2006/main" count="55" uniqueCount="45">
  <si>
    <t>PT KOLA BORASI INDONESIA</t>
  </si>
  <si>
    <t>FAKTUR PENJUALAN</t>
  </si>
  <si>
    <t xml:space="preserve">      Trading and Distribution</t>
  </si>
  <si>
    <t>0857-7444-4805</t>
  </si>
  <si>
    <t>Kepada</t>
  </si>
  <si>
    <t>:</t>
  </si>
  <si>
    <t>PT. RAJA IMPEX</t>
  </si>
  <si>
    <t xml:space="preserve">No. Faktur           </t>
  </si>
  <si>
    <t>KB-TRN-2601041</t>
  </si>
  <si>
    <t>JL. GRIYA AGUNG, KOMP GRIYA INTI</t>
  </si>
  <si>
    <t xml:space="preserve">Tgl. Faktur          </t>
  </si>
  <si>
    <t>SENTOSA BLOK O NO. 63 SUNTER AGUNG</t>
  </si>
  <si>
    <t>No. PO</t>
  </si>
  <si>
    <t>PO.26.00105</t>
  </si>
  <si>
    <t>TANJUNG PRIOK, JAKARTA UTARA</t>
  </si>
  <si>
    <t>No.NPWP</t>
  </si>
  <si>
    <t>0020522462046000</t>
  </si>
  <si>
    <t xml:space="preserve">JatuhTempo        </t>
  </si>
  <si>
    <t>Telp</t>
  </si>
  <si>
    <t>021-6410650</t>
  </si>
  <si>
    <t xml:space="preserve">Sales                    </t>
  </si>
  <si>
    <t>FERZA</t>
  </si>
  <si>
    <t>NO</t>
  </si>
  <si>
    <t>Barcode</t>
  </si>
  <si>
    <t>Nama Barang</t>
  </si>
  <si>
    <t>Jumlah</t>
  </si>
  <si>
    <t>Harga Satuan</t>
  </si>
  <si>
    <t>Barang</t>
  </si>
  <si>
    <t>(Rp.)</t>
  </si>
  <si>
    <t>8992696419162</t>
  </si>
  <si>
    <t>Nescafe Kopi Classic 10x(60x2gr)</t>
  </si>
  <si>
    <t>CTN</t>
  </si>
  <si>
    <t>Tanda Terima,</t>
  </si>
  <si>
    <t>Hormat Kami,</t>
  </si>
  <si>
    <t>TOTAL</t>
  </si>
  <si>
    <t xml:space="preserve">DISC </t>
  </si>
  <si>
    <t>DPP</t>
  </si>
  <si>
    <t>DPP NILAI LAIN</t>
  </si>
  <si>
    <t>PPN</t>
  </si>
  <si>
    <t>TOTAL NETTO</t>
  </si>
  <si>
    <t xml:space="preserve"> </t>
  </si>
  <si>
    <t>Pengirim,</t>
  </si>
  <si>
    <t>Pembayaran dapat di transfer ke rekening :</t>
  </si>
  <si>
    <t>BCA 682-5671718 a.n. PT KOLA BORASI INDONESIA</t>
  </si>
  <si>
    <t>MAYBANK 273-6001269 a.n. PT KOLA BORASI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</si>
</sst>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_);_(@_)"/>
    <numFmt numFmtId="165" formatCode="_(* #,##0_);_(* \(#,##0\);_(* &quot;-&quot;_);_(@_)"/>
  </numFmts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2"/>
      <name val="Tahoma"/>
      <family val="2"/>
    </font>
    <font>
      <b/>
      <sz val="20"/>
      <color indexed="8"/>
      <name val="Tahoma"/>
      <family val="2"/>
    </font>
    <font>
      <sz val="10"/>
      <name val="Times New Roman"/>
      <family val="1"/>
    </font>
    <font>
      <sz val="11"/>
      <name val="Times New Roman"/>
      <family val="1"/>
    </font>
    <font>
      <b/>
      <i/>
      <sz val="9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i/>
      <sz val="9"/>
      <name val="Times New Roman"/>
      <family val="1"/>
    </font>
    <font>
      <sz val="11"/>
      <color indexed="8"/>
      <name val="Calibri"/>
      <family val="2"/>
    </font>
    <font>
      <sz val="11"/>
      <color indexed="8"/>
      <name val="Times New Roman"/>
      <family val="1"/>
    </font>
    <font>
      <i/>
      <sz val="11"/>
      <name val="Monotype Corsiva"/>
      <family val="4"/>
    </font>
    <font>
      <i/>
      <sz val="11"/>
      <color indexed="8"/>
      <name val="Times New Roman"/>
      <family val="1"/>
    </font>
    <font>
      <sz val="11"/>
      <name val="Monotype Corsiva"/>
      <family val="4"/>
    </font>
    <font>
      <b/>
      <sz val="11"/>
      <color indexed="8"/>
      <name val="Calibri"/>
      <family val="2"/>
      <charset val="1"/>
    </font>
    <font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7" fillId="0" borderId="0"/>
    <xf numFmtId="43" fontId="10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0" xfId="2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49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2" applyFont="1" applyAlignment="1">
      <alignment vertical="center"/>
    </xf>
    <xf numFmtId="15" fontId="8" fillId="0" borderId="0" xfId="0" applyNumberFormat="1" applyFont="1" applyAlignment="1">
      <alignment horizontal="left" vertical="center"/>
    </xf>
    <xf numFmtId="0" fontId="8" fillId="0" borderId="0" xfId="0" quotePrefix="1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5" fillId="0" borderId="1" xfId="2" applyFont="1" applyBorder="1"/>
    <xf numFmtId="49" fontId="5" fillId="0" borderId="1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quotePrefix="1" applyFont="1" applyBorder="1" applyAlignment="1">
      <alignment horizontal="center"/>
    </xf>
    <xf numFmtId="0" fontId="0" fillId="0" borderId="0" xfId="0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16" xfId="0" applyFont="1" applyBorder="1" applyAlignment="1">
      <alignment horizontal="left" vertical="top"/>
    </xf>
    <xf numFmtId="0" fontId="11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64" fontId="11" fillId="0" borderId="17" xfId="3" applyNumberFormat="1" applyFont="1" applyBorder="1" applyAlignment="1">
      <alignment horizontal="center" vertical="top"/>
    </xf>
    <xf numFmtId="164" fontId="11" fillId="0" borderId="18" xfId="3" applyNumberFormat="1" applyFont="1" applyBorder="1" applyAlignment="1">
      <alignment horizontal="center" vertical="top"/>
    </xf>
    <xf numFmtId="165" fontId="5" fillId="0" borderId="15" xfId="0" applyNumberFormat="1" applyFont="1" applyBorder="1" applyAlignment="1">
      <alignment vertical="center"/>
    </xf>
    <xf numFmtId="0" fontId="5" fillId="0" borderId="19" xfId="0" applyFont="1" applyBorder="1" applyAlignment="1">
      <alignment horizontal="center"/>
    </xf>
    <xf numFmtId="0" fontId="5" fillId="0" borderId="19" xfId="0" quotePrefix="1" applyFont="1" applyBorder="1" applyAlignment="1">
      <alignment horizontal="center"/>
    </xf>
    <xf numFmtId="0" fontId="0" fillId="0" borderId="1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11" fillId="0" borderId="19" xfId="3" applyNumberFormat="1" applyFont="1" applyBorder="1" applyAlignment="1">
      <alignment horizontal="center" vertical="top"/>
    </xf>
    <xf numFmtId="164" fontId="11" fillId="0" borderId="16" xfId="3" applyNumberFormat="1" applyFont="1" applyBorder="1" applyAlignment="1">
      <alignment horizontal="center" vertical="top"/>
    </xf>
    <xf numFmtId="0" fontId="5" fillId="0" borderId="20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165" fontId="5" fillId="0" borderId="24" xfId="0" applyNumberFormat="1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5" fillId="0" borderId="21" xfId="0" applyFont="1" applyBorder="1" applyAlignment="1">
      <alignment vertical="center"/>
    </xf>
    <xf numFmtId="9" fontId="5" fillId="0" borderId="22" xfId="0" applyNumberFormat="1" applyFont="1" applyBorder="1" applyAlignment="1">
      <alignment horizontal="left" vertical="center"/>
    </xf>
    <xf numFmtId="0" fontId="5" fillId="0" borderId="23" xfId="0" applyFont="1" applyBorder="1" applyAlignment="1">
      <alignment vertical="center"/>
    </xf>
    <xf numFmtId="41" fontId="5" fillId="0" borderId="24" xfId="1" applyFont="1" applyBorder="1" applyAlignment="1">
      <alignment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165" fontId="5" fillId="0" borderId="28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165" fontId="14" fillId="0" borderId="0" xfId="0" applyNumberFormat="1" applyFont="1" applyAlignment="1">
      <alignment horizontal="center" vertical="center"/>
    </xf>
    <xf numFmtId="0" fontId="15" fillId="2" borderId="0" xfId="0" applyFont="1" applyFill="1"/>
    <xf numFmtId="0" fontId="16" fillId="0" borderId="0" xfId="0" applyFont="1" applyAlignment="1">
      <alignment vertical="center"/>
    </xf>
  </cellXfs>
  <cellStyles count="4">
    <cellStyle name="Comma [0]" xfId="1" builtinId="6"/>
    <cellStyle name="Comma 2" xfId="3" xr:uid="{B2FADCA5-81F1-490A-8F76-952FEB002546}"/>
    <cellStyle name="Normal" xfId="0" builtinId="0"/>
    <cellStyle name="Normal_Fak.dodo1" xfId="2" xr:uid="{FAC40006-F929-448E-9218-0244B9861C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6AD4-D0D0-460E-A7E7-C4F2F159D494}">
  <dimension ref="A1:M30"/>
  <sheetViews>
    <sheetView tabSelected="1" workbookViewId="0">
      <selection activeCell="F34" sqref="F34"/>
    </sheetView>
  </sheetViews>
  <sheetFormatPr defaultRowHeight="15" x14ac:dyDescent="0.25"/>
  <cols>
    <col min="2" max="2" width="14.140625" bestFit="1" customWidth="1"/>
    <col min="13" max="13" width="18.5703125" bestFit="1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J1" s="2" t="s">
        <v>1</v>
      </c>
      <c r="K1" s="2"/>
      <c r="L1" s="2"/>
      <c r="M1" s="2"/>
    </row>
    <row r="2" spans="1:13" x14ac:dyDescent="0.25">
      <c r="A2" s="3" t="s">
        <v>2</v>
      </c>
      <c r="B2" s="3"/>
      <c r="C2" s="3"/>
      <c r="D2" s="3"/>
      <c r="E2" s="3"/>
      <c r="F2" s="3"/>
      <c r="G2" s="3"/>
      <c r="H2" s="3"/>
      <c r="I2" s="4"/>
      <c r="J2" s="2"/>
      <c r="K2" s="2"/>
      <c r="L2" s="2"/>
      <c r="M2" s="2"/>
    </row>
    <row r="3" spans="1:13" ht="15.75" x14ac:dyDescent="0.25">
      <c r="A3" s="5"/>
      <c r="B3" s="5"/>
      <c r="C3" s="6" t="s">
        <v>3</v>
      </c>
      <c r="D3" s="6"/>
      <c r="E3" s="6"/>
      <c r="F3" s="6"/>
      <c r="G3" s="6"/>
      <c r="H3" s="6"/>
      <c r="I3" s="7"/>
      <c r="J3" s="4"/>
      <c r="K3" s="8"/>
      <c r="L3" s="9"/>
      <c r="M3" s="10"/>
    </row>
    <row r="4" spans="1:13" ht="15.75" x14ac:dyDescent="0.25">
      <c r="A4" s="5"/>
      <c r="B4" s="5"/>
      <c r="C4" s="11"/>
      <c r="D4" s="11"/>
      <c r="E4" s="11"/>
      <c r="F4" s="11"/>
      <c r="G4" s="11"/>
      <c r="H4" s="11"/>
      <c r="I4" s="7"/>
      <c r="J4" s="4"/>
      <c r="K4" s="8"/>
      <c r="L4" s="9"/>
      <c r="M4" s="10"/>
    </row>
    <row r="5" spans="1:13" ht="15.75" x14ac:dyDescent="0.25">
      <c r="A5" s="12" t="s">
        <v>4</v>
      </c>
      <c r="B5" s="12"/>
      <c r="C5" s="12"/>
      <c r="D5" s="13" t="s">
        <v>5</v>
      </c>
      <c r="E5" s="12" t="s">
        <v>6</v>
      </c>
      <c r="F5" s="12"/>
      <c r="G5" s="12"/>
      <c r="H5" s="12"/>
      <c r="I5" s="12"/>
      <c r="J5" s="9"/>
      <c r="K5" s="8" t="s">
        <v>7</v>
      </c>
      <c r="L5" s="9" t="s">
        <v>5</v>
      </c>
      <c r="M5" s="10" t="s">
        <v>8</v>
      </c>
    </row>
    <row r="6" spans="1:13" ht="15.75" x14ac:dyDescent="0.25">
      <c r="A6" s="9"/>
      <c r="B6" s="9"/>
      <c r="C6" s="13"/>
      <c r="D6" s="13"/>
      <c r="E6" s="12" t="s">
        <v>9</v>
      </c>
      <c r="F6" s="12"/>
      <c r="G6" s="12"/>
      <c r="H6" s="12"/>
      <c r="I6" s="12"/>
      <c r="J6" s="9"/>
      <c r="K6" s="9" t="s">
        <v>10</v>
      </c>
      <c r="L6" s="9" t="s">
        <v>5</v>
      </c>
      <c r="M6" s="14">
        <v>46036</v>
      </c>
    </row>
    <row r="7" spans="1:13" ht="15.75" x14ac:dyDescent="0.25">
      <c r="A7" s="9"/>
      <c r="B7" s="9"/>
      <c r="C7" s="13"/>
      <c r="D7" s="13"/>
      <c r="E7" s="12" t="s">
        <v>11</v>
      </c>
      <c r="F7" s="12"/>
      <c r="G7" s="12"/>
      <c r="H7" s="12"/>
      <c r="I7" s="12"/>
      <c r="J7" s="9"/>
      <c r="K7" s="9" t="s">
        <v>12</v>
      </c>
      <c r="L7" s="9" t="s">
        <v>5</v>
      </c>
      <c r="M7" s="10" t="s">
        <v>13</v>
      </c>
    </row>
    <row r="8" spans="1:13" ht="15.75" x14ac:dyDescent="0.25">
      <c r="A8" s="9"/>
      <c r="B8" s="9"/>
      <c r="C8" s="13"/>
      <c r="D8" s="13"/>
      <c r="E8" s="12" t="s">
        <v>14</v>
      </c>
      <c r="F8" s="12"/>
      <c r="G8" s="12"/>
      <c r="H8" s="12"/>
      <c r="I8" s="12"/>
      <c r="J8" s="8"/>
      <c r="K8" s="9"/>
      <c r="L8" s="9" t="s">
        <v>5</v>
      </c>
      <c r="M8" s="10"/>
    </row>
    <row r="9" spans="1:13" ht="15.75" x14ac:dyDescent="0.25">
      <c r="A9" s="9" t="s">
        <v>15</v>
      </c>
      <c r="B9" s="9"/>
      <c r="C9" s="13"/>
      <c r="D9" s="13" t="s">
        <v>5</v>
      </c>
      <c r="E9" s="15" t="s">
        <v>16</v>
      </c>
      <c r="F9" s="8"/>
      <c r="G9" s="8"/>
      <c r="H9" s="8"/>
      <c r="I9" s="8"/>
      <c r="J9" s="8"/>
      <c r="K9" s="9" t="s">
        <v>17</v>
      </c>
      <c r="L9" s="9" t="s">
        <v>5</v>
      </c>
      <c r="M9" s="14">
        <f>M6</f>
        <v>46036</v>
      </c>
    </row>
    <row r="10" spans="1:13" ht="15.75" x14ac:dyDescent="0.25">
      <c r="A10" s="16" t="s">
        <v>18</v>
      </c>
      <c r="B10" s="16"/>
      <c r="C10" s="16"/>
      <c r="D10" s="17" t="s">
        <v>5</v>
      </c>
      <c r="E10" s="18" t="s">
        <v>19</v>
      </c>
      <c r="F10" s="18"/>
      <c r="G10" s="18"/>
      <c r="H10" s="19"/>
      <c r="I10" s="20"/>
      <c r="J10" s="9"/>
      <c r="K10" s="21" t="s">
        <v>20</v>
      </c>
      <c r="L10" s="21" t="s">
        <v>5</v>
      </c>
      <c r="M10" s="22" t="s">
        <v>21</v>
      </c>
    </row>
    <row r="11" spans="1:13" ht="15.75" x14ac:dyDescent="0.25">
      <c r="A11" s="23" t="s">
        <v>22</v>
      </c>
      <c r="B11" s="23" t="s">
        <v>23</v>
      </c>
      <c r="C11" s="24" t="s">
        <v>24</v>
      </c>
      <c r="D11" s="25"/>
      <c r="E11" s="25"/>
      <c r="F11" s="25"/>
      <c r="G11" s="25"/>
      <c r="H11" s="25"/>
      <c r="I11" s="26" t="s">
        <v>25</v>
      </c>
      <c r="J11" s="27"/>
      <c r="K11" s="26" t="s">
        <v>26</v>
      </c>
      <c r="L11" s="27"/>
      <c r="M11" s="28" t="s">
        <v>25</v>
      </c>
    </row>
    <row r="12" spans="1:13" ht="16.5" thickBot="1" x14ac:dyDescent="0.3">
      <c r="A12" s="29"/>
      <c r="B12" s="29"/>
      <c r="C12" s="30"/>
      <c r="D12" s="31"/>
      <c r="E12" s="31"/>
      <c r="F12" s="31"/>
      <c r="G12" s="31"/>
      <c r="H12" s="31"/>
      <c r="I12" s="32" t="s">
        <v>27</v>
      </c>
      <c r="J12" s="33"/>
      <c r="K12" s="34" t="s">
        <v>28</v>
      </c>
      <c r="L12" s="35"/>
      <c r="M12" s="36" t="s">
        <v>28</v>
      </c>
    </row>
    <row r="13" spans="1:13" ht="15.75" thickTop="1" x14ac:dyDescent="0.25">
      <c r="A13" s="37">
        <v>1</v>
      </c>
      <c r="B13" s="38" t="s">
        <v>29</v>
      </c>
      <c r="C13" s="39" t="s">
        <v>30</v>
      </c>
      <c r="D13" s="40"/>
      <c r="E13" s="40"/>
      <c r="F13" s="40"/>
      <c r="G13" s="40"/>
      <c r="H13" s="41"/>
      <c r="I13" s="42">
        <v>1013</v>
      </c>
      <c r="J13" s="43" t="s">
        <v>31</v>
      </c>
      <c r="K13" s="44">
        <f>707000/1.11</f>
        <v>636936.93693693692</v>
      </c>
      <c r="L13" s="45"/>
      <c r="M13" s="46">
        <f t="shared" ref="M13:M20" si="0">(I13*K13)</f>
        <v>645217117.11711705</v>
      </c>
    </row>
    <row r="14" spans="1:13" x14ac:dyDescent="0.25">
      <c r="A14" s="47">
        <f>+A13+1</f>
        <v>2</v>
      </c>
      <c r="B14" s="48"/>
      <c r="C14" s="49"/>
      <c r="D14" s="50"/>
      <c r="E14" s="50"/>
      <c r="F14" s="50"/>
      <c r="G14" s="50"/>
      <c r="H14" s="51"/>
      <c r="I14" s="52"/>
      <c r="J14" s="43"/>
      <c r="K14" s="53"/>
      <c r="L14" s="54"/>
      <c r="M14" s="46">
        <f t="shared" si="0"/>
        <v>0</v>
      </c>
    </row>
    <row r="15" spans="1:13" x14ac:dyDescent="0.25">
      <c r="A15" s="47">
        <f t="shared" ref="A15:A20" si="1">+A14+1</f>
        <v>3</v>
      </c>
      <c r="B15" s="38"/>
      <c r="C15" s="39"/>
      <c r="D15" s="40"/>
      <c r="E15" s="40"/>
      <c r="F15" s="40"/>
      <c r="G15" s="40"/>
      <c r="H15" s="41"/>
      <c r="I15" s="52"/>
      <c r="J15" s="43"/>
      <c r="K15" s="53"/>
      <c r="L15" s="54"/>
      <c r="M15" s="46">
        <f t="shared" si="0"/>
        <v>0</v>
      </c>
    </row>
    <row r="16" spans="1:13" x14ac:dyDescent="0.25">
      <c r="A16" s="47">
        <f t="shared" si="1"/>
        <v>4</v>
      </c>
      <c r="B16" s="48"/>
      <c r="C16" s="49"/>
      <c r="D16" s="50"/>
      <c r="E16" s="50"/>
      <c r="F16" s="50"/>
      <c r="G16" s="50"/>
      <c r="H16" s="51"/>
      <c r="I16" s="52"/>
      <c r="J16" s="43"/>
      <c r="K16" s="53"/>
      <c r="L16" s="54"/>
      <c r="M16" s="46">
        <f t="shared" si="0"/>
        <v>0</v>
      </c>
    </row>
    <row r="17" spans="1:13" x14ac:dyDescent="0.25">
      <c r="A17" s="47">
        <f t="shared" si="1"/>
        <v>5</v>
      </c>
      <c r="B17" s="48"/>
      <c r="C17" s="49"/>
      <c r="D17" s="50"/>
      <c r="E17" s="50"/>
      <c r="F17" s="50"/>
      <c r="G17" s="50"/>
      <c r="H17" s="51"/>
      <c r="I17" s="52"/>
      <c r="J17" s="43"/>
      <c r="K17" s="53"/>
      <c r="L17" s="54"/>
      <c r="M17" s="46">
        <f t="shared" si="0"/>
        <v>0</v>
      </c>
    </row>
    <row r="18" spans="1:13" x14ac:dyDescent="0.25">
      <c r="A18" s="47">
        <f t="shared" si="1"/>
        <v>6</v>
      </c>
      <c r="B18" s="48"/>
      <c r="C18" s="49"/>
      <c r="D18" s="50"/>
      <c r="E18" s="50"/>
      <c r="F18" s="50"/>
      <c r="G18" s="50"/>
      <c r="H18" s="51"/>
      <c r="I18" s="52"/>
      <c r="J18" s="43"/>
      <c r="K18" s="53"/>
      <c r="L18" s="54"/>
      <c r="M18" s="46">
        <f t="shared" si="0"/>
        <v>0</v>
      </c>
    </row>
    <row r="19" spans="1:13" x14ac:dyDescent="0.25">
      <c r="A19" s="47">
        <f t="shared" si="1"/>
        <v>7</v>
      </c>
      <c r="B19" s="48"/>
      <c r="C19" s="49"/>
      <c r="D19" s="50"/>
      <c r="E19" s="50"/>
      <c r="F19" s="50"/>
      <c r="G19" s="50"/>
      <c r="H19" s="51"/>
      <c r="I19" s="52"/>
      <c r="J19" s="43"/>
      <c r="K19" s="53"/>
      <c r="L19" s="54"/>
      <c r="M19" s="46">
        <f t="shared" si="0"/>
        <v>0</v>
      </c>
    </row>
    <row r="20" spans="1:13" x14ac:dyDescent="0.25">
      <c r="A20" s="47">
        <f t="shared" si="1"/>
        <v>8</v>
      </c>
      <c r="B20" s="48"/>
      <c r="C20" s="49"/>
      <c r="D20" s="50"/>
      <c r="E20" s="50"/>
      <c r="F20" s="50"/>
      <c r="G20" s="50"/>
      <c r="H20" s="51"/>
      <c r="I20" s="55"/>
      <c r="J20" s="43"/>
      <c r="K20" s="53"/>
      <c r="L20" s="54"/>
      <c r="M20" s="46">
        <f t="shared" si="0"/>
        <v>0</v>
      </c>
    </row>
    <row r="21" spans="1:13" x14ac:dyDescent="0.25">
      <c r="A21" s="56" t="s">
        <v>32</v>
      </c>
      <c r="B21" s="56"/>
      <c r="C21" s="57"/>
      <c r="D21" s="57"/>
      <c r="E21" s="57"/>
      <c r="F21" s="57"/>
      <c r="G21" s="56" t="s">
        <v>33</v>
      </c>
      <c r="H21" s="56"/>
      <c r="I21" s="5">
        <f>SUM(I13:I20)</f>
        <v>1013</v>
      </c>
      <c r="J21" s="58" t="s">
        <v>34</v>
      </c>
      <c r="K21" s="59"/>
      <c r="L21" s="60"/>
      <c r="M21" s="61">
        <f>SUM(M13:M20)</f>
        <v>645217117.11711705</v>
      </c>
    </row>
    <row r="22" spans="1:13" x14ac:dyDescent="0.25">
      <c r="A22" s="62"/>
      <c r="B22" s="62"/>
      <c r="C22" s="63"/>
      <c r="D22" s="63"/>
      <c r="E22" s="63"/>
      <c r="F22" s="63"/>
      <c r="G22" s="62"/>
      <c r="H22" s="62"/>
      <c r="I22" s="5"/>
      <c r="J22" s="64" t="s">
        <v>35</v>
      </c>
      <c r="K22" s="65">
        <v>0</v>
      </c>
      <c r="L22" s="66"/>
      <c r="M22" s="67">
        <f>M21*K22</f>
        <v>0</v>
      </c>
    </row>
    <row r="23" spans="1:13" x14ac:dyDescent="0.25">
      <c r="A23" s="62"/>
      <c r="B23" s="62"/>
      <c r="C23" s="63"/>
      <c r="D23" s="63"/>
      <c r="E23" s="63"/>
      <c r="F23" s="63"/>
      <c r="G23" s="62"/>
      <c r="H23" s="62"/>
      <c r="I23" s="5"/>
      <c r="J23" s="58" t="s">
        <v>36</v>
      </c>
      <c r="K23" s="59"/>
      <c r="L23" s="60"/>
      <c r="M23" s="67">
        <f>+M21-M22</f>
        <v>645217117.11711705</v>
      </c>
    </row>
    <row r="24" spans="1:13" x14ac:dyDescent="0.25">
      <c r="A24" s="62"/>
      <c r="B24" s="62"/>
      <c r="C24" s="63"/>
      <c r="D24" s="63"/>
      <c r="E24" s="63"/>
      <c r="F24" s="63"/>
      <c r="G24" s="62"/>
      <c r="H24" s="62"/>
      <c r="I24" s="5"/>
      <c r="J24" s="68" t="s">
        <v>37</v>
      </c>
      <c r="K24" s="69"/>
      <c r="L24" s="70"/>
      <c r="M24" s="67">
        <f>+M23*0.916666666666667</f>
        <v>591449024.02402413</v>
      </c>
    </row>
    <row r="25" spans="1:13" x14ac:dyDescent="0.25">
      <c r="A25" s="62"/>
      <c r="B25" s="62"/>
      <c r="C25" s="62"/>
      <c r="D25" s="62"/>
      <c r="E25" s="62"/>
      <c r="F25" s="62"/>
      <c r="G25" s="62"/>
      <c r="H25" s="62"/>
      <c r="I25" s="5"/>
      <c r="J25" s="58" t="s">
        <v>38</v>
      </c>
      <c r="K25" s="59"/>
      <c r="L25" s="60"/>
      <c r="M25" s="61">
        <f>+M24*0.12</f>
        <v>70973882.882882893</v>
      </c>
    </row>
    <row r="26" spans="1:13" ht="15.75" thickBot="1" x14ac:dyDescent="0.3">
      <c r="A26" s="62"/>
      <c r="B26" s="62"/>
      <c r="C26" s="62"/>
      <c r="D26" s="62"/>
      <c r="E26" s="62"/>
      <c r="F26" s="62"/>
      <c r="G26" s="62"/>
      <c r="H26" s="62"/>
      <c r="I26" s="5"/>
      <c r="J26" s="71" t="s">
        <v>39</v>
      </c>
      <c r="K26" s="72"/>
      <c r="L26" s="73"/>
      <c r="M26" s="74">
        <f>M23+M25</f>
        <v>716191000</v>
      </c>
    </row>
    <row r="27" spans="1:13" ht="15.75" thickTop="1" x14ac:dyDescent="0.25">
      <c r="A27" s="63"/>
      <c r="B27" s="63"/>
      <c r="C27" s="63"/>
      <c r="D27" s="63"/>
      <c r="E27" s="63"/>
      <c r="F27" s="63"/>
      <c r="G27" s="75"/>
      <c r="H27" s="63"/>
      <c r="I27" s="5" t="s">
        <v>40</v>
      </c>
      <c r="J27" s="5"/>
      <c r="K27" s="5"/>
      <c r="L27" s="76" t="s">
        <v>41</v>
      </c>
      <c r="M27" s="77"/>
    </row>
    <row r="28" spans="1:13" x14ac:dyDescent="0.25">
      <c r="A28" s="78" t="s">
        <v>42</v>
      </c>
      <c r="B28" s="79"/>
      <c r="C28" s="79"/>
      <c r="D28" s="79"/>
      <c r="E28" s="79"/>
      <c r="F28" s="79"/>
      <c r="G28" s="75"/>
      <c r="H28" s="79"/>
      <c r="I28" s="5"/>
    </row>
    <row r="29" spans="1:13" x14ac:dyDescent="0.25">
      <c r="A29" s="78" t="s">
        <v>43</v>
      </c>
      <c r="B29" s="78"/>
      <c r="C29" s="5"/>
      <c r="D29" s="5"/>
      <c r="E29" s="5"/>
      <c r="F29" s="5"/>
      <c r="G29" s="79"/>
      <c r="H29" s="5"/>
      <c r="I29" s="5"/>
    </row>
    <row r="30" spans="1:13" x14ac:dyDescent="0.25">
      <c r="A30" s="78" t="s">
        <v>44</v>
      </c>
    </row>
  </sheetData>
  <mergeCells count="40">
    <mergeCell ref="A21:B21"/>
    <mergeCell ref="G21:H21"/>
    <mergeCell ref="J21:L21"/>
    <mergeCell ref="J23:L23"/>
    <mergeCell ref="J25:L25"/>
    <mergeCell ref="J26:L26"/>
    <mergeCell ref="C18:H18"/>
    <mergeCell ref="K18:L18"/>
    <mergeCell ref="C19:H19"/>
    <mergeCell ref="K19:L19"/>
    <mergeCell ref="C20:H20"/>
    <mergeCell ref="K20:L20"/>
    <mergeCell ref="C15:H15"/>
    <mergeCell ref="K15:L15"/>
    <mergeCell ref="C16:H16"/>
    <mergeCell ref="K16:L16"/>
    <mergeCell ref="C17:H17"/>
    <mergeCell ref="K17:L17"/>
    <mergeCell ref="K11:L11"/>
    <mergeCell ref="I12:J12"/>
    <mergeCell ref="K12:L12"/>
    <mergeCell ref="C13:H13"/>
    <mergeCell ref="K13:L13"/>
    <mergeCell ref="C14:H14"/>
    <mergeCell ref="K14:L14"/>
    <mergeCell ref="E6:I6"/>
    <mergeCell ref="E7:I7"/>
    <mergeCell ref="E8:I8"/>
    <mergeCell ref="A10:C10"/>
    <mergeCell ref="E10:G10"/>
    <mergeCell ref="A11:A12"/>
    <mergeCell ref="B11:B12"/>
    <mergeCell ref="C11:H12"/>
    <mergeCell ref="I11:J11"/>
    <mergeCell ref="A1:H1"/>
    <mergeCell ref="J1:M2"/>
    <mergeCell ref="A2:H2"/>
    <mergeCell ref="C3:H3"/>
    <mergeCell ref="A5:C5"/>
    <mergeCell ref="E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FAKTUR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2026-04-06T03:00:29Z</dcterms:created>
  <dcterms:modified xsi:type="dcterms:W3CDTF">2026-04-06T03:01:45Z</dcterms:modified>
</cp:coreProperties>
</file>